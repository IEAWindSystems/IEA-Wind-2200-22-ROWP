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IEA-Wind-2200-22-ROWP\data\"/>
    </mc:Choice>
  </mc:AlternateContent>
  <xr:revisionPtr revIDLastSave="0" documentId="13_ncr:1_{60B5E9E2-0893-4A85-80AB-7D0AAD41CD2F}" xr6:coauthVersionLast="47" xr6:coauthVersionMax="47" xr10:uidLastSave="{00000000-0000-0000-0000-000000000000}"/>
  <bookViews>
    <workbookView xWindow="13800" yWindow="0" windowWidth="14057" windowHeight="17880" xr2:uid="{B2AF22FD-04A2-44E7-8A6F-3F4AE8E78B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29" i="1"/>
  <c r="E30" i="1"/>
  <c r="E19" i="1"/>
  <c r="B20" i="1"/>
  <c r="B21" i="1"/>
  <c r="B22" i="1"/>
  <c r="B23" i="1"/>
  <c r="B24" i="1"/>
  <c r="B25" i="1"/>
  <c r="B26" i="1"/>
  <c r="B27" i="1"/>
  <c r="B28" i="1"/>
  <c r="B29" i="1"/>
  <c r="B30" i="1"/>
  <c r="B19" i="1"/>
  <c r="C20" i="1"/>
  <c r="C21" i="1"/>
  <c r="C22" i="1"/>
  <c r="C23" i="1"/>
  <c r="C24" i="1"/>
  <c r="C25" i="1"/>
  <c r="C26" i="1"/>
  <c r="C27" i="1"/>
  <c r="C28" i="1"/>
  <c r="C29" i="1"/>
  <c r="C30" i="1"/>
  <c r="C19" i="1"/>
</calcChain>
</file>

<file path=xl/sharedStrings.xml><?xml version="1.0" encoding="utf-8"?>
<sst xmlns="http://schemas.openxmlformats.org/spreadsheetml/2006/main" count="18" uniqueCount="12">
  <si>
    <t>Sector</t>
  </si>
  <si>
    <t>A</t>
  </si>
  <si>
    <t>k</t>
  </si>
  <si>
    <t>Frequ</t>
  </si>
  <si>
    <t>Mean</t>
  </si>
  <si>
    <t>at 100m</t>
  </si>
  <si>
    <t>alpha</t>
  </si>
  <si>
    <t>H1</t>
  </si>
  <si>
    <t>m</t>
  </si>
  <si>
    <t>H2</t>
  </si>
  <si>
    <t>at 170m (Hub Height)</t>
  </si>
  <si>
    <t>Taken from Table 50 in "Wind Resource Assessment Hollandse Kust (west) Wind Farm Zone Update February 2022"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</si>
</sst>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E255-00A1-451F-AD6B-B207EFC19EAB}">
  <dimension ref="A1:M30"/>
  <sheetViews>
    <sheetView tabSelected="1" workbookViewId="0">
      <selection activeCell="D25" sqref="D25"/>
    </sheetView>
  </sheetViews>
  <sheetFormatPr baseColWidth="10" defaultRowHeight="14.6" x14ac:dyDescent="0.4"/>
  <sheetData>
    <row r="1" spans="1:13" x14ac:dyDescent="0.4">
      <c r="A1" s="1" t="s">
        <v>5</v>
      </c>
    </row>
    <row r="2" spans="1:13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I2" s="3" t="s">
        <v>11</v>
      </c>
    </row>
    <row r="3" spans="1:13" x14ac:dyDescent="0.4">
      <c r="A3">
        <v>0</v>
      </c>
      <c r="B3">
        <v>9.1199999999999992</v>
      </c>
      <c r="C3">
        <v>2.38</v>
      </c>
      <c r="D3">
        <v>5.98</v>
      </c>
      <c r="E3">
        <v>8.09</v>
      </c>
      <c r="F3">
        <v>0.03</v>
      </c>
    </row>
    <row r="4" spans="1:13" x14ac:dyDescent="0.4">
      <c r="A4">
        <v>30</v>
      </c>
      <c r="B4">
        <v>9.2899999999999991</v>
      </c>
      <c r="C4">
        <v>2.63</v>
      </c>
      <c r="D4">
        <v>5.94</v>
      </c>
      <c r="E4">
        <v>8.25</v>
      </c>
      <c r="F4">
        <v>0.03</v>
      </c>
    </row>
    <row r="5" spans="1:13" x14ac:dyDescent="0.4">
      <c r="A5">
        <v>60</v>
      </c>
      <c r="B5">
        <v>9.9600000000000009</v>
      </c>
      <c r="C5">
        <v>2.75</v>
      </c>
      <c r="D5">
        <v>7</v>
      </c>
      <c r="E5">
        <v>8.86</v>
      </c>
      <c r="F5">
        <v>0.03</v>
      </c>
    </row>
    <row r="6" spans="1:13" x14ac:dyDescent="0.4">
      <c r="A6">
        <v>90</v>
      </c>
      <c r="B6">
        <v>9.89</v>
      </c>
      <c r="C6">
        <v>2.61</v>
      </c>
      <c r="D6">
        <v>6.67</v>
      </c>
      <c r="E6">
        <v>8.7899999999999991</v>
      </c>
      <c r="F6">
        <v>0.06</v>
      </c>
    </row>
    <row r="7" spans="1:13" x14ac:dyDescent="0.4">
      <c r="A7">
        <v>120</v>
      </c>
      <c r="B7">
        <v>9.24</v>
      </c>
      <c r="C7">
        <v>2.46</v>
      </c>
      <c r="D7">
        <v>4.92</v>
      </c>
      <c r="E7">
        <v>8.1999999999999993</v>
      </c>
      <c r="F7">
        <v>0.06</v>
      </c>
      <c r="K7" t="s">
        <v>7</v>
      </c>
      <c r="L7">
        <v>100</v>
      </c>
      <c r="M7" t="s">
        <v>8</v>
      </c>
    </row>
    <row r="8" spans="1:13" x14ac:dyDescent="0.4">
      <c r="A8">
        <v>150</v>
      </c>
      <c r="B8">
        <v>9.3800000000000008</v>
      </c>
      <c r="C8">
        <v>2.33</v>
      </c>
      <c r="D8">
        <v>4.78</v>
      </c>
      <c r="E8">
        <v>8.31</v>
      </c>
      <c r="F8">
        <v>0.09</v>
      </c>
      <c r="K8" t="s">
        <v>9</v>
      </c>
      <c r="L8">
        <v>170</v>
      </c>
      <c r="M8" t="s">
        <v>8</v>
      </c>
    </row>
    <row r="9" spans="1:13" x14ac:dyDescent="0.4">
      <c r="A9">
        <v>180</v>
      </c>
      <c r="B9">
        <v>11.7</v>
      </c>
      <c r="C9">
        <v>2.38</v>
      </c>
      <c r="D9">
        <v>7.64</v>
      </c>
      <c r="E9">
        <v>10.37</v>
      </c>
      <c r="F9">
        <v>0.1</v>
      </c>
    </row>
    <row r="10" spans="1:13" x14ac:dyDescent="0.4">
      <c r="A10">
        <v>210</v>
      </c>
      <c r="B10">
        <v>13.29</v>
      </c>
      <c r="C10">
        <v>2.63</v>
      </c>
      <c r="D10">
        <v>14.26</v>
      </c>
      <c r="E10">
        <v>11.81</v>
      </c>
      <c r="F10">
        <v>0.13</v>
      </c>
    </row>
    <row r="11" spans="1:13" x14ac:dyDescent="0.4">
      <c r="A11">
        <v>240</v>
      </c>
      <c r="B11">
        <v>12.89</v>
      </c>
      <c r="C11">
        <v>2.54</v>
      </c>
      <c r="D11">
        <v>15.88</v>
      </c>
      <c r="E11">
        <v>11.44</v>
      </c>
      <c r="F11">
        <v>0.11</v>
      </c>
    </row>
    <row r="12" spans="1:13" x14ac:dyDescent="0.4">
      <c r="A12">
        <v>270</v>
      </c>
      <c r="B12">
        <v>11.46</v>
      </c>
      <c r="C12">
        <v>2.2599999999999998</v>
      </c>
      <c r="D12">
        <v>10.67</v>
      </c>
      <c r="E12">
        <v>10.15</v>
      </c>
      <c r="F12">
        <v>7.0000000000000007E-2</v>
      </c>
    </row>
    <row r="13" spans="1:13" x14ac:dyDescent="0.4">
      <c r="A13">
        <v>300</v>
      </c>
      <c r="B13">
        <v>10.42</v>
      </c>
      <c r="C13">
        <v>2.2999999999999998</v>
      </c>
      <c r="D13">
        <v>8.7200000000000006</v>
      </c>
      <c r="E13">
        <v>9.23</v>
      </c>
      <c r="F13">
        <v>0.05</v>
      </c>
    </row>
    <row r="14" spans="1:13" x14ac:dyDescent="0.4">
      <c r="A14">
        <v>330</v>
      </c>
      <c r="B14">
        <v>10.08</v>
      </c>
      <c r="C14">
        <v>2.23</v>
      </c>
      <c r="D14">
        <v>7.55</v>
      </c>
      <c r="E14">
        <v>8.93</v>
      </c>
      <c r="F14">
        <v>0.04</v>
      </c>
    </row>
    <row r="17" spans="1:5" x14ac:dyDescent="0.4">
      <c r="A17" s="1" t="s">
        <v>10</v>
      </c>
    </row>
    <row r="18" spans="1:5" x14ac:dyDescent="0.4">
      <c r="A18" t="s">
        <v>0</v>
      </c>
      <c r="B18" t="s">
        <v>1</v>
      </c>
      <c r="C18" t="s">
        <v>2</v>
      </c>
      <c r="D18" t="s">
        <v>3</v>
      </c>
      <c r="E18" t="s">
        <v>3</v>
      </c>
    </row>
    <row r="19" spans="1:5" x14ac:dyDescent="0.4">
      <c r="A19">
        <v>0</v>
      </c>
      <c r="B19" s="2">
        <f>B3*($L$8/$L$7)^F3</f>
        <v>9.2663415938990532</v>
      </c>
      <c r="C19">
        <f>C3</f>
        <v>2.38</v>
      </c>
      <c r="D19">
        <v>5.98</v>
      </c>
      <c r="E19">
        <f>D19/100</f>
        <v>5.9800000000000006E-2</v>
      </c>
    </row>
    <row r="20" spans="1:5" x14ac:dyDescent="0.4">
      <c r="A20">
        <v>30</v>
      </c>
      <c r="B20" s="2">
        <f t="shared" ref="B20:B30" si="0">B4*($L$8/$L$7)^F4</f>
        <v>9.4390694525572592</v>
      </c>
      <c r="C20">
        <f t="shared" ref="C20:C30" si="1">C4</f>
        <v>2.63</v>
      </c>
      <c r="D20">
        <v>5.94</v>
      </c>
      <c r="E20">
        <f t="shared" ref="E20:E30" si="2">D20/100</f>
        <v>5.9400000000000001E-2</v>
      </c>
    </row>
    <row r="21" spans="1:5" x14ac:dyDescent="0.4">
      <c r="A21">
        <v>60</v>
      </c>
      <c r="B21" s="2">
        <f t="shared" si="0"/>
        <v>10.119820424916073</v>
      </c>
      <c r="C21">
        <f t="shared" si="1"/>
        <v>2.75</v>
      </c>
      <c r="D21">
        <v>7</v>
      </c>
      <c r="E21">
        <f t="shared" si="2"/>
        <v>7.0000000000000007E-2</v>
      </c>
    </row>
    <row r="22" spans="1:5" x14ac:dyDescent="0.4">
      <c r="A22">
        <v>90</v>
      </c>
      <c r="B22" s="2">
        <f t="shared" si="0"/>
        <v>10.209940869178569</v>
      </c>
      <c r="C22">
        <f t="shared" si="1"/>
        <v>2.61</v>
      </c>
      <c r="D22">
        <v>6.67</v>
      </c>
      <c r="E22">
        <f t="shared" si="2"/>
        <v>6.6699999999999995E-2</v>
      </c>
    </row>
    <row r="23" spans="1:5" x14ac:dyDescent="0.4">
      <c r="A23">
        <v>120</v>
      </c>
      <c r="B23" s="2">
        <f t="shared" si="0"/>
        <v>9.5389134106380151</v>
      </c>
      <c r="C23">
        <f t="shared" si="1"/>
        <v>2.46</v>
      </c>
      <c r="D23">
        <v>4.92</v>
      </c>
      <c r="E23">
        <f t="shared" si="2"/>
        <v>4.9200000000000001E-2</v>
      </c>
    </row>
    <row r="24" spans="1:5" x14ac:dyDescent="0.4">
      <c r="A24">
        <v>150</v>
      </c>
      <c r="B24" s="2">
        <f t="shared" si="0"/>
        <v>9.838825120512638</v>
      </c>
      <c r="C24">
        <f t="shared" si="1"/>
        <v>2.33</v>
      </c>
      <c r="D24">
        <v>4.78</v>
      </c>
      <c r="E24">
        <f t="shared" si="2"/>
        <v>4.7800000000000002E-2</v>
      </c>
    </row>
    <row r="25" spans="1:5" x14ac:dyDescent="0.4">
      <c r="A25">
        <v>180</v>
      </c>
      <c r="B25" s="2">
        <f t="shared" si="0"/>
        <v>12.337601934700764</v>
      </c>
      <c r="C25">
        <f t="shared" si="1"/>
        <v>2.38</v>
      </c>
      <c r="D25">
        <v>7.64</v>
      </c>
      <c r="E25">
        <f t="shared" si="2"/>
        <v>7.6399999999999996E-2</v>
      </c>
    </row>
    <row r="26" spans="1:5" x14ac:dyDescent="0.4">
      <c r="A26">
        <v>210</v>
      </c>
      <c r="B26" s="2">
        <f t="shared" si="0"/>
        <v>14.239126251569893</v>
      </c>
      <c r="C26">
        <f t="shared" si="1"/>
        <v>2.63</v>
      </c>
      <c r="D26">
        <v>14.26</v>
      </c>
      <c r="E26">
        <f t="shared" si="2"/>
        <v>0.1426</v>
      </c>
    </row>
    <row r="27" spans="1:5" x14ac:dyDescent="0.4">
      <c r="A27">
        <v>240</v>
      </c>
      <c r="B27" s="2">
        <f t="shared" si="0"/>
        <v>13.664769134342922</v>
      </c>
      <c r="C27">
        <f t="shared" si="1"/>
        <v>2.54</v>
      </c>
      <c r="D27">
        <v>15.88</v>
      </c>
      <c r="E27">
        <f t="shared" si="2"/>
        <v>0.1588</v>
      </c>
    </row>
    <row r="28" spans="1:5" x14ac:dyDescent="0.4">
      <c r="A28">
        <v>270</v>
      </c>
      <c r="B28" s="2">
        <f t="shared" si="0"/>
        <v>11.893674317914412</v>
      </c>
      <c r="C28">
        <f t="shared" si="1"/>
        <v>2.2599999999999998</v>
      </c>
      <c r="D28">
        <v>10.67</v>
      </c>
      <c r="E28">
        <f t="shared" si="2"/>
        <v>0.1067</v>
      </c>
    </row>
    <row r="29" spans="1:5" x14ac:dyDescent="0.4">
      <c r="A29">
        <v>300</v>
      </c>
      <c r="B29" s="2">
        <f t="shared" si="0"/>
        <v>10.70015737044927</v>
      </c>
      <c r="C29">
        <f t="shared" si="1"/>
        <v>2.2999999999999998</v>
      </c>
      <c r="D29">
        <v>8.7200000000000006</v>
      </c>
      <c r="E29">
        <f t="shared" si="2"/>
        <v>8.72E-2</v>
      </c>
    </row>
    <row r="30" spans="1:5" x14ac:dyDescent="0.4">
      <c r="A30">
        <v>330</v>
      </c>
      <c r="B30" s="2">
        <f t="shared" si="0"/>
        <v>10.2962360116518</v>
      </c>
      <c r="C30">
        <f t="shared" si="1"/>
        <v>2.23</v>
      </c>
      <c r="D30">
        <v>7.55</v>
      </c>
      <c r="E30">
        <f t="shared" si="2"/>
        <v>7.5499999999999998E-2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Kainz</dc:creator>
  <cp:lastModifiedBy>Samuel Apra</cp:lastModifiedBy>
  <dcterms:created xsi:type="dcterms:W3CDTF">2025-02-28T12:28:43Z</dcterms:created>
  <dcterms:modified xsi:type="dcterms:W3CDTF">2025-08-11T13:57:45Z</dcterms:modified>
</cp:coreProperties>
</file>